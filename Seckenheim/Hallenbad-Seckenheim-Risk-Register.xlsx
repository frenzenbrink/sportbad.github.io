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Legende" sheetId="2" state="visible" r:id="rId4"/>
  </sheets>
  <definedNames>
    <definedName function="false" hidden="true" localSheetId="0" name="_xlnm._FilterDatabase" vbProcedure="false">'Risk Register'!$A$5:$K$5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<sst xmlns="http://schemas.openxmlformats.org/spreadsheetml/2006/main" count="152" uniqueCount="128">
  <si>
    <t xml:space="preserve">Risk Register · Hallenbad Seckenheim (Sportbad Mannheim)</t>
  </si>
  <si>
    <t xml:space="preserve">Einschätzung: Die größten Risiken liegen NICHT in der Bausubstanz — die drei Begehungen (Statiker, Berndt, Dachdecker) haben die teuren Worst-Cases (Dach, Becken, Decken-Vollsanierung) entschärft. Das Hauptcluster ist organisatorisch/finanziell: Vorfinanzierung, Belegung und ehrenamtliche Kapazität ('uns übernehmen'). Genau dafür wirken Kernbedingung (Bindung nur bei gesicherter Vorfinanzierung), Opt-out und Cash-first als Sicherheitsnetz. W/A = Ersteinschätzung, im Team zu kalibrieren.</t>
  </si>
  <si>
    <t xml:space="preserve">ID</t>
  </si>
  <si>
    <t xml:space="preserve">Kategorie</t>
  </si>
  <si>
    <t xml:space="preserve">Risiko</t>
  </si>
  <si>
    <t xml:space="preserve">Mögliche Auswirkung</t>
  </si>
  <si>
    <t xml:space="preserve">W</t>
  </si>
  <si>
    <t xml:space="preserve">A</t>
  </si>
  <si>
    <t xml:space="preserve">Score</t>
  </si>
  <si>
    <t xml:space="preserve">Stufe</t>
  </si>
  <si>
    <t xml:space="preserve">Gegenmaßnahmen</t>
  </si>
  <si>
    <t xml:space="preserve">Owner</t>
  </si>
  <si>
    <t xml:space="preserve">Frühindikator / Status</t>
  </si>
  <si>
    <t xml:space="preserve">Finanzen</t>
  </si>
  <si>
    <t xml:space="preserve">Vorfinanzierung des 1. Betriebsjahres kommt nicht zusammen</t>
  </si>
  <si>
    <t xml:space="preserve">Kein Start / Rückzug; Projekt scheitert vor Beginn</t>
  </si>
  <si>
    <t xml:space="preserve">Kernbedingung: Bindung nur vorvertraglich, aufschiebend bedingt auf gesicherte Vorfinanzierung. Fundraising + Vereins-LOIs; Mitgliederdarlehen (TSG-Modell, ~3%); Vorlaufbudget klein halten (~25–35 T€) durch Umwidmung des Gründungskapitals.</t>
  </si>
  <si>
    <t xml:space="preserve">Eugen / Alex</t>
  </si>
  <si>
    <t xml:space="preserve">Fundraising-/LOI-Stand &lt; Ziel bis 31.12.</t>
  </si>
  <si>
    <t xml:space="preserve">Zu wenige verbindliche Bahnenstunden-Commitments</t>
  </si>
  <si>
    <t xml:space="preserve">Erlöse decken laufende Kosten nicht (aktuell ~120/560 h)</t>
  </si>
  <si>
    <t xml:space="preserve">Aktiv nachfassen (Schulen, TSG, regionale Vereine, Triathleten, Schwimmschule); Preis 28 €→30 €; breitere Nutzergruppen + öffentliche Zeiten; Vor-Commitments als Vertragsvorstufe.</t>
  </si>
  <si>
    <t xml:space="preserve">Alex &amp; Elisabeth</t>
  </si>
  <si>
    <t xml:space="preserve">committete Stunden stagnieren; offene Rückmeldungen</t>
  </si>
  <si>
    <t xml:space="preserve">Energiekosten (Gas größter Block) hoch bzw. steigend</t>
  </si>
  <si>
    <t xml:space="preserve">Kostendeckungsgrad sinkt</t>
  </si>
  <si>
    <t xml:space="preserve">Beckenabdeckung + Wärmetauscher am Filter (schnelle Hebel); mittelfristig Wärmepumpe/WRG (förderfinanziert); Betriebsoptimierung; Preisgleitklausel in Nutzungsverträgen.</t>
  </si>
  <si>
    <t xml:space="preserve">Konrad &amp; José / Eugen</t>
  </si>
  <si>
    <t xml:space="preserve">Gasverbrauch/-preis je Quartal</t>
  </si>
  <si>
    <t xml:space="preserve">Ungeplante Großreparatur im Jahr 1 (Run-to-failure)</t>
  </si>
  <si>
    <t xml:space="preserve">Liquiditätsschock (z. B. Chlordosierung ~12 T€)</t>
  </si>
  <si>
    <t xml:space="preserve">Liquiditätspuffer/Reserve einplanen; Ersatzteil im Lager; Förderprogramme (Pumpen bis 40%); priorisierte Instandhaltungsrücklage.</t>
  </si>
  <si>
    <t xml:space="preserve">Eugen / Konrad</t>
  </si>
  <si>
    <t xml:space="preserve">Alter/Zustand Alldos, Pumpen; Störhäufigkeit</t>
  </si>
  <si>
    <t xml:space="preserve">Pacht-/Erbbauzins höher als tragbar</t>
  </si>
  <si>
    <t xml:space="preserve">Betrieb wird unrentabel</t>
  </si>
  <si>
    <t xml:space="preserve">Reduzierten Zins argumentieren (Gemeinbedarfsfläche, Gemeinnützigkeit); Anlaufphase ohne Pacht; Investitionsverrechnung; Opt-out ohne Schaden für die Stadt.</t>
  </si>
  <si>
    <t xml:space="preserve">Christian</t>
  </si>
  <si>
    <t xml:space="preserve">Verhandlungsstand mit der Stadt</t>
  </si>
  <si>
    <t xml:space="preserve">Technik</t>
  </si>
  <si>
    <t xml:space="preserve">Deckengutachten fällt negativ aus / keine Freigabe</t>
  </si>
  <si>
    <t xml:space="preserve">K.-o. für den Betrieb 2027</t>
  </si>
  <si>
    <t xml:space="preserve">Gutachten sofort beauftragen (zeitkritisch, ~6 Wo, gilt nur bis Ende 2026); Statiker sah kaum Korrosion (geringe W'keit); Puffer für punktuelle Ertüchtigung.</t>
  </si>
  <si>
    <t xml:space="preserve">Initiative (Christian)</t>
  </si>
  <si>
    <t xml:space="preserve">Gutachten-Termin/-ergebnis</t>
  </si>
  <si>
    <t xml:space="preserve">Dach: weitere Wassereintritte; GEG-Pflicht bei großflächiger Sanierung</t>
  </si>
  <si>
    <t xml:space="preserve">Höhere Sanierungskosten / Auflagen</t>
  </si>
  <si>
    <t xml:space="preserve">Statiker: Spannbetonträger unbedenklich; zunächst notdürftig abdichten (Oberlichter + Bitumenstreifen), großflächige Arbeiten vermeiden (kein GEG-Trigger); offizielle Dachdecker-Schätzung einholen.</t>
  </si>
  <si>
    <t xml:space="preserve">Konrad &amp; José</t>
  </si>
  <si>
    <t xml:space="preserve">Regen-Eintritt; Angebot Dachdecker</t>
  </si>
  <si>
    <t xml:space="preserve">Ausfall/Totalschaden alter Technik allgemein</t>
  </si>
  <si>
    <t xml:space="preserve">Betriebsunterbrechung, ungeplante Kosten</t>
  </si>
  <si>
    <t xml:space="preserve">Wartungsverträge (Käuffer u. a.); Berndt als Fachmann auf Abruf; Ersatzteilstrategie; Priorisierung + Rücklage; Zustandsmonitoring.</t>
  </si>
  <si>
    <t xml:space="preserve">Konrad &amp; José (+ Berndt)</t>
  </si>
  <si>
    <t xml:space="preserve">Wartungsberichte; Störungen</t>
  </si>
  <si>
    <t xml:space="preserve">Warmhaltebetrieb 31.07.→Übernahme nicht gesichert</t>
  </si>
  <si>
    <t xml:space="preserve">Substanz-/Technikschäden im Leerstand</t>
  </si>
  <si>
    <t xml:space="preserve">Verantwortung + Kosten vertraglich der Stadt zuordnen; Umwälzpumpen + Lüftung weiterlaufen (Stadt übernimmt evtl. Stromkosten Q4).</t>
  </si>
  <si>
    <t xml:space="preserve">Martin</t>
  </si>
  <si>
    <t xml:space="preserve">Vereinbarung mit der Stadt steht?</t>
  </si>
  <si>
    <t xml:space="preserve">Sprungturm-Korrosion teurer als gedacht</t>
  </si>
  <si>
    <t xml:space="preserve">Zusatzkosten oder Rückbau</t>
  </si>
  <si>
    <t xml:space="preserve">Fundament/Stahlplatte prüfen; Ergebnis: günstige Sanierung ODER Rückbau (mit Stadt); nachgelagert in die Funding-Phase.</t>
  </si>
  <si>
    <t xml:space="preserve">Prüfergebnis Sprungturm</t>
  </si>
  <si>
    <t xml:space="preserve">Recht/Behörde</t>
  </si>
  <si>
    <t xml:space="preserve">Gesundheitsamt-Auflagen höher als erwartet</t>
  </si>
  <si>
    <t xml:space="preserve">Nachrüstungen, Verzögerung</t>
  </si>
  <si>
    <t xml:space="preserve">Betriebskonzept vorab mit Gesundheitsamt abstimmen (Berndt unterstützt); DIN 19643/§37 IfSG einhalten; bei guten Werten keine Zusatzauflagen.</t>
  </si>
  <si>
    <t xml:space="preserve">Martin / Berndt</t>
  </si>
  <si>
    <t xml:space="preserve">Rückmeldung Gesundheitsamt</t>
  </si>
  <si>
    <t xml:space="preserve">Brandschutz/DGUV V3: kein geprüfter Zustand, evtl. Nachrüstpflicht</t>
  </si>
  <si>
    <t xml:space="preserve">Betrieb evtl. nicht genehmigungsfähig</t>
  </si>
  <si>
    <t xml:space="preserve">Geprüften Übergabezustand als Forderung an die Stadt; früh mit Stadt/Berufsfeuerwehr klären (Brandwarnanlage?); Brandschutz-/Flucht-/Evakuierungspläne erstellen.</t>
  </si>
  <si>
    <t xml:space="preserve">Klärung mit Stadt/Feuerwehr</t>
  </si>
  <si>
    <t xml:space="preserve">Haftung / Verkehrssicherung (Betreiberhaftung)</t>
  </si>
  <si>
    <t xml:space="preserve">Personen-/Sachschaden, Rechtsfolgen</t>
  </si>
  <si>
    <t xml:space="preserve">Rechtsform Verein + Haftungsprivileg (§31a/§31b BGB); BGV-/Betriebshaftpflicht; klare Nutzungsverträge (Schlüsselgewalt); Vereine stellen rettungsfähige Aufsicht.</t>
  </si>
  <si>
    <t xml:space="preserve">Versicherungs-/Vertragsstatus</t>
  </si>
  <si>
    <t xml:space="preserve">Vertrag mit der Stadt verzögert oder ungünstig</t>
  </si>
  <si>
    <t xml:space="preserve">Start gefährdet (Stadt macht Druck)</t>
  </si>
  <si>
    <t xml:space="preserve">Vorvertrag mit aufschiebender Bedingung; Vertragsentwurf früh anfragen (Kaliske); Eckpunkte (Laufzeit, Opt-out, Investitionsverrechnung) definieren.</t>
  </si>
  <si>
    <t xml:space="preserve">Martin / Christian</t>
  </si>
  <si>
    <t xml:space="preserve">Vertragsentwurf erhalten?</t>
  </si>
  <si>
    <t xml:space="preserve">Organisation</t>
  </si>
  <si>
    <t xml:space="preserve">Ehrenamtliche Überlastung / zu wenige Mitstreiter</t>
  </si>
  <si>
    <t xml:space="preserve">Burnout, Aufgaben bleiben liegen, Projekt kippt</t>
  </si>
  <si>
    <t xml:space="preserve">Gezieltes Onboarding (noch 15–20 Leute: Schwimmverein Mannheim, Triathleten); klare Rollen; Aufgaben delegieren; Leistungen zukaufen (Fachfirmen); realistischer Scope + Meilensteine.</t>
  </si>
  <si>
    <t xml:space="preserve">Vorstand / Martin</t>
  </si>
  <si>
    <t xml:space="preserve">Aufgaben-/Kapazitätsauslastung Kernteam</t>
  </si>
  <si>
    <t xml:space="preserve">Ausfall einer Schlüsselperson (Bus-Faktor)</t>
  </si>
  <si>
    <t xml:space="preserve">Wissens-/Kapazitätslücke</t>
  </si>
  <si>
    <t xml:space="preserve">Rollen doppeln; Wissen dokumentieren (diese Projektakte/Archiv); Vertretungen benennen.</t>
  </si>
  <si>
    <t xml:space="preserve">Vorstand</t>
  </si>
  <si>
    <t xml:space="preserve">Doppelbesetzung je Kernrolle?</t>
  </si>
  <si>
    <t xml:space="preserve">Fehlendes Betriebs-Know-how (Wasseraufbereitung)</t>
  </si>
  <si>
    <t xml:space="preserve">Fehler im Betrieb, Hygienemängel</t>
  </si>
  <si>
    <t xml:space="preserve">Einweisung durch Berndt/Wulff; Sachkunde-Schulung; Wartungsverträge; ohne öffentlichen Betrieb keine ständige Fachkraft nötig.</t>
  </si>
  <si>
    <t xml:space="preserve">Konrad &amp; José / Berndt</t>
  </si>
  <si>
    <t xml:space="preserve">Schulungs-/Einweisungsstand</t>
  </si>
  <si>
    <t xml:space="preserve">Aufsicht/Fachkraft bei öffentlichem Betrieb</t>
  </si>
  <si>
    <t xml:space="preserve">Genehmigungs-/Sicherheitsproblem</t>
  </si>
  <si>
    <t xml:space="preserve">Reiner Vereinsbetrieb (Vereine stellen rettungsfähige Aufsicht); öffentliche Zeiten nur mit qualifiziertem Personal / DLRG-Kooperation.</t>
  </si>
  <si>
    <t xml:space="preserve">Umfang öffentlicher Zeiten</t>
  </si>
  <si>
    <t xml:space="preserve">Zeit/Extern</t>
  </si>
  <si>
    <t xml:space="preserve">Zeitplan bis 01.01.2027 zu eng (viele Abhängigkeiten)</t>
  </si>
  <si>
    <t xml:space="preserve">Start verschiebt sich</t>
  </si>
  <si>
    <t xml:space="preserve">Inbetriebnahme 01.02. als Puffer; kritische Pfade früh (Decke, Gründung); Arbeitspakete parallelisieren; klare Owner.</t>
  </si>
  <si>
    <t xml:space="preserve">Meilenstein-Ampel</t>
  </si>
  <si>
    <t xml:space="preserve">Nachfrageverschiebung durch Kombibad / Standortkonkurrenz</t>
  </si>
  <si>
    <t xml:space="preserve">Auslastung sinkt</t>
  </si>
  <si>
    <t xml:space="preserve">Ergänzungsprofil statt Konkurrenz (Bahnen/Kurse/Reha); flexible Belegung; Umlandvereine ansprechen.</t>
  </si>
  <si>
    <t xml:space="preserve">Alex</t>
  </si>
  <si>
    <t xml:space="preserve">Buchungsauslastung</t>
  </si>
  <si>
    <t xml:space="preserve">Reputations-/Erwartungsrisiko bei Scheitern</t>
  </si>
  <si>
    <t xml:space="preserve">Vertrauensverlust, öffentlicher Druck</t>
  </si>
  <si>
    <t xml:space="preserve">Konservativ kommunizieren; Cash-first; Opt-out ohne Schaden für die Stadt; realistische Erwartungssteuerung.</t>
  </si>
  <si>
    <t xml:space="preserve">Stimmung Mitglieder/Öffentlichkeit</t>
  </si>
  <si>
    <t xml:space="preserve">Legende</t>
  </si>
  <si>
    <t xml:space="preserve">Bewertung</t>
  </si>
  <si>
    <t xml:space="preserve">Score = Wahrscheinlichkeit (W) × Auswirkung (A), je 1–3 → Skala 1–9</t>
  </si>
  <si>
    <t xml:space="preserve">W / A</t>
  </si>
  <si>
    <t xml:space="preserve">1 = gering, 2 = mittel, 3 = hoch</t>
  </si>
  <si>
    <t xml:space="preserve">niedrig = Score ≤ 2 (grün) · mittel = 3–5 (gelb) · hoch = 6–9 (rot)</t>
  </si>
  <si>
    <t xml:space="preserve">Vorschlag anhand der Rollen; im Team final zuordnen</t>
  </si>
  <si>
    <t xml:space="preserve">Hinweis</t>
  </si>
  <si>
    <t xml:space="preserve">W/A sind eine Ersteinschätzung als Diskussionsgrundlage — in der Sitzung gemeinsam kalibrieren.</t>
  </si>
  <si>
    <t xml:space="preserve">Frühindikator</t>
  </si>
  <si>
    <t xml:space="preserve">Woran man früh erkennt, dass das Risiko schlagend wird (regelmäßig prüfen).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</si>
</sst>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1B2A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0B3C54"/>
      <name val="Arial"/>
      <family val="0"/>
      <charset val="1"/>
    </font>
    <font>
      <b val="true"/>
      <sz val="10"/>
      <color rgb="FF0E6D8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3C54"/>
        <bgColor rgb="FF1B2A33"/>
      </patternFill>
    </fill>
    <fill>
      <patternFill patternType="solid">
        <fgColor rgb="FF0E6D8F"/>
        <bgColor rgb="FF008080"/>
      </patternFill>
    </fill>
    <fill>
      <patternFill patternType="solid">
        <fgColor rgb="FFF1F6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D3D9"/>
      </left>
      <right style="thin">
        <color rgb="FFC7D3D9"/>
      </right>
      <top style="thin">
        <color rgb="FFC7D3D9"/>
      </top>
      <bottom style="thin">
        <color rgb="FFC7D3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E6D8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D8F"/>
      <rgbColor rgb="FFC0C0C0"/>
      <rgbColor rgb="FF808080"/>
      <rgbColor rgb="FF9999FF"/>
      <rgbColor rgb="FF993366"/>
      <rgbColor rgb="FFFFF2CC"/>
      <rgbColor rgb="FFF1F6F8"/>
      <rgbColor rgb="FF660066"/>
      <rgbColor rgb="FFFF8080"/>
      <rgbColor rgb="FF0066CC"/>
      <rgbColor rgb="FFC7D3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3C54"/>
      <rgbColor rgb="FF339966"/>
      <rgbColor rgb="FF003300"/>
      <rgbColor rgb="FF333300"/>
      <rgbColor rgb="FF993300"/>
      <rgbColor rgb="FF993366"/>
      <rgbColor rgb="FF333399"/>
      <rgbColor rgb="FF1B2A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38"/>
    <col collapsed="false" customWidth="true" hidden="false" outlineLevel="0" max="4" min="4" style="0" width="32"/>
    <col collapsed="false" customWidth="true" hidden="false" outlineLevel="0" max="6" min="5" style="0" width="5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54"/>
    <col collapsed="false" customWidth="true" hidden="false" outlineLevel="0" max="10" min="10" style="0" width="16"/>
    <col collapsed="false" customWidth="true" hidden="false" outlineLevel="0" max="11" min="11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5" customFormat="false" ht="27.75" hidden="false" customHeight="tru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3" t="s">
        <v>10</v>
      </c>
      <c r="J5" s="3" t="s">
        <v>11</v>
      </c>
      <c r="K5" s="3" t="s">
        <v>12</v>
      </c>
    </row>
    <row r="6" customFormat="false" ht="85.5" hidden="false" customHeight="true" outlineLevel="0" collapsed="false">
      <c r="A6" s="5" t="n">
        <v>1</v>
      </c>
      <c r="B6" s="6" t="s">
        <v>13</v>
      </c>
      <c r="C6" s="6" t="s">
        <v>14</v>
      </c>
      <c r="D6" s="6" t="s">
        <v>15</v>
      </c>
      <c r="E6" s="5" t="n">
        <v>2</v>
      </c>
      <c r="F6" s="5" t="n">
        <v>3</v>
      </c>
      <c r="G6" s="7" t="n">
        <f aca="false">E6*F6</f>
        <v>6</v>
      </c>
      <c r="H6" s="5" t="str">
        <f aca="false">IF(G6&gt;=6,"hoch",IF(G6&gt;=3,"mittel","niedrig"))</f>
        <v>hoch</v>
      </c>
      <c r="I6" s="6" t="s">
        <v>16</v>
      </c>
      <c r="J6" s="6" t="s">
        <v>17</v>
      </c>
      <c r="K6" s="6" t="s">
        <v>18</v>
      </c>
    </row>
    <row r="7" customFormat="false" ht="85.5" hidden="false" customHeight="true" outlineLevel="0" collapsed="false">
      <c r="A7" s="8" t="n">
        <v>2</v>
      </c>
      <c r="B7" s="9" t="s">
        <v>13</v>
      </c>
      <c r="C7" s="9" t="s">
        <v>19</v>
      </c>
      <c r="D7" s="9" t="s">
        <v>20</v>
      </c>
      <c r="E7" s="8" t="n">
        <v>2</v>
      </c>
      <c r="F7" s="8" t="n">
        <v>3</v>
      </c>
      <c r="G7" s="7" t="n">
        <f aca="false">E7*F7</f>
        <v>6</v>
      </c>
      <c r="H7" s="5" t="str">
        <f aca="false">IF(G7&gt;=6,"hoch",IF(G7&gt;=3,"mittel","niedrig"))</f>
        <v>hoch</v>
      </c>
      <c r="I7" s="9" t="s">
        <v>21</v>
      </c>
      <c r="J7" s="9" t="s">
        <v>22</v>
      </c>
      <c r="K7" s="9" t="s">
        <v>23</v>
      </c>
    </row>
    <row r="8" customFormat="false" ht="85.5" hidden="false" customHeight="true" outlineLevel="0" collapsed="false">
      <c r="A8" s="5" t="n">
        <v>3</v>
      </c>
      <c r="B8" s="6" t="s">
        <v>13</v>
      </c>
      <c r="C8" s="6" t="s">
        <v>24</v>
      </c>
      <c r="D8" s="6" t="s">
        <v>25</v>
      </c>
      <c r="E8" s="5" t="n">
        <v>3</v>
      </c>
      <c r="F8" s="5" t="n">
        <v>2</v>
      </c>
      <c r="G8" s="7" t="n">
        <f aca="false">E8*F8</f>
        <v>6</v>
      </c>
      <c r="H8" s="5" t="str">
        <f aca="false">IF(G8&gt;=6,"hoch",IF(G8&gt;=3,"mittel","niedrig"))</f>
        <v>hoch</v>
      </c>
      <c r="I8" s="6" t="s">
        <v>26</v>
      </c>
      <c r="J8" s="6" t="s">
        <v>27</v>
      </c>
      <c r="K8" s="6" t="s">
        <v>28</v>
      </c>
    </row>
    <row r="9" customFormat="false" ht="85.5" hidden="false" customHeight="true" outlineLevel="0" collapsed="false">
      <c r="A9" s="8" t="n">
        <v>4</v>
      </c>
      <c r="B9" s="9" t="s">
        <v>13</v>
      </c>
      <c r="C9" s="9" t="s">
        <v>29</v>
      </c>
      <c r="D9" s="9" t="s">
        <v>30</v>
      </c>
      <c r="E9" s="8" t="n">
        <v>2</v>
      </c>
      <c r="F9" s="8" t="n">
        <v>2</v>
      </c>
      <c r="G9" s="7" t="n">
        <f aca="false">E9*F9</f>
        <v>4</v>
      </c>
      <c r="H9" s="5" t="str">
        <f aca="false">IF(G9&gt;=6,"hoch",IF(G9&gt;=3,"mittel","niedrig"))</f>
        <v>mittel</v>
      </c>
      <c r="I9" s="9" t="s">
        <v>31</v>
      </c>
      <c r="J9" s="9" t="s">
        <v>32</v>
      </c>
      <c r="K9" s="9" t="s">
        <v>33</v>
      </c>
    </row>
    <row r="10" customFormat="false" ht="85.5" hidden="false" customHeight="true" outlineLevel="0" collapsed="false">
      <c r="A10" s="5" t="n">
        <v>5</v>
      </c>
      <c r="B10" s="6" t="s">
        <v>13</v>
      </c>
      <c r="C10" s="6" t="s">
        <v>34</v>
      </c>
      <c r="D10" s="6" t="s">
        <v>35</v>
      </c>
      <c r="E10" s="5" t="n">
        <v>1</v>
      </c>
      <c r="F10" s="5" t="n">
        <v>2</v>
      </c>
      <c r="G10" s="7" t="n">
        <f aca="false">E10*F10</f>
        <v>2</v>
      </c>
      <c r="H10" s="5" t="str">
        <f aca="false">IF(G10&gt;=6,"hoch",IF(G10&gt;=3,"mittel","niedrig"))</f>
        <v>niedrig</v>
      </c>
      <c r="I10" s="6" t="s">
        <v>36</v>
      </c>
      <c r="J10" s="6" t="s">
        <v>37</v>
      </c>
      <c r="K10" s="6" t="s">
        <v>38</v>
      </c>
    </row>
    <row r="11" customFormat="false" ht="85.5" hidden="false" customHeight="true" outlineLevel="0" collapsed="false">
      <c r="A11" s="8" t="n">
        <v>6</v>
      </c>
      <c r="B11" s="9" t="s">
        <v>39</v>
      </c>
      <c r="C11" s="9" t="s">
        <v>40</v>
      </c>
      <c r="D11" s="9" t="s">
        <v>41</v>
      </c>
      <c r="E11" s="8" t="n">
        <v>1</v>
      </c>
      <c r="F11" s="8" t="n">
        <v>3</v>
      </c>
      <c r="G11" s="7" t="n">
        <f aca="false">E11*F11</f>
        <v>3</v>
      </c>
      <c r="H11" s="5" t="str">
        <f aca="false">IF(G11&gt;=6,"hoch",IF(G11&gt;=3,"mittel","niedrig"))</f>
        <v>mittel</v>
      </c>
      <c r="I11" s="9" t="s">
        <v>42</v>
      </c>
      <c r="J11" s="9" t="s">
        <v>43</v>
      </c>
      <c r="K11" s="9" t="s">
        <v>44</v>
      </c>
    </row>
    <row r="12" customFormat="false" ht="85.5" hidden="false" customHeight="true" outlineLevel="0" collapsed="false">
      <c r="A12" s="5" t="n">
        <v>7</v>
      </c>
      <c r="B12" s="6" t="s">
        <v>39</v>
      </c>
      <c r="C12" s="6" t="s">
        <v>45</v>
      </c>
      <c r="D12" s="6" t="s">
        <v>46</v>
      </c>
      <c r="E12" s="5" t="n">
        <v>1</v>
      </c>
      <c r="F12" s="5" t="n">
        <v>2</v>
      </c>
      <c r="G12" s="7" t="n">
        <f aca="false">E12*F12</f>
        <v>2</v>
      </c>
      <c r="H12" s="5" t="str">
        <f aca="false">IF(G12&gt;=6,"hoch",IF(G12&gt;=3,"mittel","niedrig"))</f>
        <v>niedrig</v>
      </c>
      <c r="I12" s="6" t="s">
        <v>47</v>
      </c>
      <c r="J12" s="6" t="s">
        <v>48</v>
      </c>
      <c r="K12" s="6" t="s">
        <v>49</v>
      </c>
    </row>
    <row r="13" customFormat="false" ht="85.5" hidden="false" customHeight="true" outlineLevel="0" collapsed="false">
      <c r="A13" s="8" t="n">
        <v>8</v>
      </c>
      <c r="B13" s="9" t="s">
        <v>39</v>
      </c>
      <c r="C13" s="9" t="s">
        <v>50</v>
      </c>
      <c r="D13" s="9" t="s">
        <v>51</v>
      </c>
      <c r="E13" s="8" t="n">
        <v>2</v>
      </c>
      <c r="F13" s="8" t="n">
        <v>2</v>
      </c>
      <c r="G13" s="7" t="n">
        <f aca="false">E13*F13</f>
        <v>4</v>
      </c>
      <c r="H13" s="5" t="str">
        <f aca="false">IF(G13&gt;=6,"hoch",IF(G13&gt;=3,"mittel","niedrig"))</f>
        <v>mittel</v>
      </c>
      <c r="I13" s="9" t="s">
        <v>52</v>
      </c>
      <c r="J13" s="9" t="s">
        <v>53</v>
      </c>
      <c r="K13" s="9" t="s">
        <v>54</v>
      </c>
    </row>
    <row r="14" customFormat="false" ht="85.5" hidden="false" customHeight="true" outlineLevel="0" collapsed="false">
      <c r="A14" s="5" t="n">
        <v>9</v>
      </c>
      <c r="B14" s="6" t="s">
        <v>39</v>
      </c>
      <c r="C14" s="6" t="s">
        <v>55</v>
      </c>
      <c r="D14" s="6" t="s">
        <v>56</v>
      </c>
      <c r="E14" s="5" t="n">
        <v>1</v>
      </c>
      <c r="F14" s="5" t="n">
        <v>3</v>
      </c>
      <c r="G14" s="7" t="n">
        <f aca="false">E14*F14</f>
        <v>3</v>
      </c>
      <c r="H14" s="5" t="str">
        <f aca="false">IF(G14&gt;=6,"hoch",IF(G14&gt;=3,"mittel","niedrig"))</f>
        <v>mittel</v>
      </c>
      <c r="I14" s="6" t="s">
        <v>57</v>
      </c>
      <c r="J14" s="6" t="s">
        <v>58</v>
      </c>
      <c r="K14" s="6" t="s">
        <v>59</v>
      </c>
    </row>
    <row r="15" customFormat="false" ht="85.5" hidden="false" customHeight="true" outlineLevel="0" collapsed="false">
      <c r="A15" s="8" t="n">
        <v>10</v>
      </c>
      <c r="B15" s="9" t="s">
        <v>39</v>
      </c>
      <c r="C15" s="9" t="s">
        <v>60</v>
      </c>
      <c r="D15" s="9" t="s">
        <v>61</v>
      </c>
      <c r="E15" s="8" t="n">
        <v>1</v>
      </c>
      <c r="F15" s="8" t="n">
        <v>1</v>
      </c>
      <c r="G15" s="7" t="n">
        <f aca="false">E15*F15</f>
        <v>1</v>
      </c>
      <c r="H15" s="5" t="str">
        <f aca="false">IF(G15&gt;=6,"hoch",IF(G15&gt;=3,"mittel","niedrig"))</f>
        <v>niedrig</v>
      </c>
      <c r="I15" s="9" t="s">
        <v>62</v>
      </c>
      <c r="J15" s="9" t="s">
        <v>48</v>
      </c>
      <c r="K15" s="9" t="s">
        <v>63</v>
      </c>
    </row>
    <row r="16" customFormat="false" ht="85.5" hidden="false" customHeight="true" outlineLevel="0" collapsed="false">
      <c r="A16" s="5" t="n">
        <v>11</v>
      </c>
      <c r="B16" s="6" t="s">
        <v>64</v>
      </c>
      <c r="C16" s="6" t="s">
        <v>65</v>
      </c>
      <c r="D16" s="6" t="s">
        <v>66</v>
      </c>
      <c r="E16" s="5" t="n">
        <v>2</v>
      </c>
      <c r="F16" s="5" t="n">
        <v>2</v>
      </c>
      <c r="G16" s="7" t="n">
        <f aca="false">E16*F16</f>
        <v>4</v>
      </c>
      <c r="H16" s="5" t="str">
        <f aca="false">IF(G16&gt;=6,"hoch",IF(G16&gt;=3,"mittel","niedrig"))</f>
        <v>mittel</v>
      </c>
      <c r="I16" s="6" t="s">
        <v>67</v>
      </c>
      <c r="J16" s="6" t="s">
        <v>68</v>
      </c>
      <c r="K16" s="6" t="s">
        <v>69</v>
      </c>
    </row>
    <row r="17" customFormat="false" ht="85.5" hidden="false" customHeight="true" outlineLevel="0" collapsed="false">
      <c r="A17" s="8" t="n">
        <v>12</v>
      </c>
      <c r="B17" s="9" t="s">
        <v>64</v>
      </c>
      <c r="C17" s="9" t="s">
        <v>70</v>
      </c>
      <c r="D17" s="9" t="s">
        <v>71</v>
      </c>
      <c r="E17" s="8" t="n">
        <v>2</v>
      </c>
      <c r="F17" s="8" t="n">
        <v>2</v>
      </c>
      <c r="G17" s="7" t="n">
        <f aca="false">E17*F17</f>
        <v>4</v>
      </c>
      <c r="H17" s="5" t="str">
        <f aca="false">IF(G17&gt;=6,"hoch",IF(G17&gt;=3,"mittel","niedrig"))</f>
        <v>mittel</v>
      </c>
      <c r="I17" s="9" t="s">
        <v>72</v>
      </c>
      <c r="J17" s="9" t="s">
        <v>58</v>
      </c>
      <c r="K17" s="9" t="s">
        <v>73</v>
      </c>
    </row>
    <row r="18" customFormat="false" ht="85.5" hidden="false" customHeight="true" outlineLevel="0" collapsed="false">
      <c r="A18" s="5" t="n">
        <v>13</v>
      </c>
      <c r="B18" s="6" t="s">
        <v>64</v>
      </c>
      <c r="C18" s="6" t="s">
        <v>74</v>
      </c>
      <c r="D18" s="6" t="s">
        <v>75</v>
      </c>
      <c r="E18" s="5" t="n">
        <v>1</v>
      </c>
      <c r="F18" s="5" t="n">
        <v>3</v>
      </c>
      <c r="G18" s="7" t="n">
        <f aca="false">E18*F18</f>
        <v>3</v>
      </c>
      <c r="H18" s="5" t="str">
        <f aca="false">IF(G18&gt;=6,"hoch",IF(G18&gt;=3,"mittel","niedrig"))</f>
        <v>mittel</v>
      </c>
      <c r="I18" s="6" t="s">
        <v>76</v>
      </c>
      <c r="J18" s="6" t="s">
        <v>37</v>
      </c>
      <c r="K18" s="6" t="s">
        <v>77</v>
      </c>
    </row>
    <row r="19" customFormat="false" ht="85.5" hidden="false" customHeight="true" outlineLevel="0" collapsed="false">
      <c r="A19" s="8" t="n">
        <v>14</v>
      </c>
      <c r="B19" s="9" t="s">
        <v>64</v>
      </c>
      <c r="C19" s="9" t="s">
        <v>78</v>
      </c>
      <c r="D19" s="9" t="s">
        <v>79</v>
      </c>
      <c r="E19" s="8" t="n">
        <v>2</v>
      </c>
      <c r="F19" s="8" t="n">
        <v>2</v>
      </c>
      <c r="G19" s="7" t="n">
        <f aca="false">E19*F19</f>
        <v>4</v>
      </c>
      <c r="H19" s="5" t="str">
        <f aca="false">IF(G19&gt;=6,"hoch",IF(G19&gt;=3,"mittel","niedrig"))</f>
        <v>mittel</v>
      </c>
      <c r="I19" s="9" t="s">
        <v>80</v>
      </c>
      <c r="J19" s="9" t="s">
        <v>81</v>
      </c>
      <c r="K19" s="9" t="s">
        <v>82</v>
      </c>
    </row>
    <row r="20" customFormat="false" ht="85.5" hidden="false" customHeight="true" outlineLevel="0" collapsed="false">
      <c r="A20" s="5" t="n">
        <v>15</v>
      </c>
      <c r="B20" s="6" t="s">
        <v>83</v>
      </c>
      <c r="C20" s="6" t="s">
        <v>84</v>
      </c>
      <c r="D20" s="6" t="s">
        <v>85</v>
      </c>
      <c r="E20" s="5" t="n">
        <v>3</v>
      </c>
      <c r="F20" s="5" t="n">
        <v>3</v>
      </c>
      <c r="G20" s="7" t="n">
        <f aca="false">E20*F20</f>
        <v>9</v>
      </c>
      <c r="H20" s="5" t="str">
        <f aca="false">IF(G20&gt;=6,"hoch",IF(G20&gt;=3,"mittel","niedrig"))</f>
        <v>hoch</v>
      </c>
      <c r="I20" s="6" t="s">
        <v>86</v>
      </c>
      <c r="J20" s="6" t="s">
        <v>87</v>
      </c>
      <c r="K20" s="6" t="s">
        <v>88</v>
      </c>
    </row>
    <row r="21" customFormat="false" ht="85.5" hidden="false" customHeight="true" outlineLevel="0" collapsed="false">
      <c r="A21" s="8" t="n">
        <v>16</v>
      </c>
      <c r="B21" s="9" t="s">
        <v>83</v>
      </c>
      <c r="C21" s="9" t="s">
        <v>89</v>
      </c>
      <c r="D21" s="9" t="s">
        <v>90</v>
      </c>
      <c r="E21" s="8" t="n">
        <v>2</v>
      </c>
      <c r="F21" s="8" t="n">
        <v>3</v>
      </c>
      <c r="G21" s="7" t="n">
        <f aca="false">E21*F21</f>
        <v>6</v>
      </c>
      <c r="H21" s="5" t="str">
        <f aca="false">IF(G21&gt;=6,"hoch",IF(G21&gt;=3,"mittel","niedrig"))</f>
        <v>hoch</v>
      </c>
      <c r="I21" s="9" t="s">
        <v>91</v>
      </c>
      <c r="J21" s="9" t="s">
        <v>92</v>
      </c>
      <c r="K21" s="9" t="s">
        <v>93</v>
      </c>
    </row>
    <row r="22" customFormat="false" ht="85.5" hidden="false" customHeight="true" outlineLevel="0" collapsed="false">
      <c r="A22" s="5" t="n">
        <v>17</v>
      </c>
      <c r="B22" s="6" t="s">
        <v>83</v>
      </c>
      <c r="C22" s="6" t="s">
        <v>94</v>
      </c>
      <c r="D22" s="6" t="s">
        <v>95</v>
      </c>
      <c r="E22" s="5" t="n">
        <v>1</v>
      </c>
      <c r="F22" s="5" t="n">
        <v>2</v>
      </c>
      <c r="G22" s="7" t="n">
        <f aca="false">E22*F22</f>
        <v>2</v>
      </c>
      <c r="H22" s="5" t="str">
        <f aca="false">IF(G22&gt;=6,"hoch",IF(G22&gt;=3,"mittel","niedrig"))</f>
        <v>niedrig</v>
      </c>
      <c r="I22" s="6" t="s">
        <v>96</v>
      </c>
      <c r="J22" s="6" t="s">
        <v>97</v>
      </c>
      <c r="K22" s="6" t="s">
        <v>98</v>
      </c>
    </row>
    <row r="23" customFormat="false" ht="85.5" hidden="false" customHeight="true" outlineLevel="0" collapsed="false">
      <c r="A23" s="8" t="n">
        <v>18</v>
      </c>
      <c r="B23" s="9" t="s">
        <v>83</v>
      </c>
      <c r="C23" s="9" t="s">
        <v>99</v>
      </c>
      <c r="D23" s="9" t="s">
        <v>100</v>
      </c>
      <c r="E23" s="8" t="n">
        <v>2</v>
      </c>
      <c r="F23" s="8" t="n">
        <v>2</v>
      </c>
      <c r="G23" s="7" t="n">
        <f aca="false">E23*F23</f>
        <v>4</v>
      </c>
      <c r="H23" s="5" t="str">
        <f aca="false">IF(G23&gt;=6,"hoch",IF(G23&gt;=3,"mittel","niedrig"))</f>
        <v>mittel</v>
      </c>
      <c r="I23" s="9" t="s">
        <v>101</v>
      </c>
      <c r="J23" s="9" t="s">
        <v>58</v>
      </c>
      <c r="K23" s="9" t="s">
        <v>102</v>
      </c>
    </row>
    <row r="24" customFormat="false" ht="85.5" hidden="false" customHeight="true" outlineLevel="0" collapsed="false">
      <c r="A24" s="5" t="n">
        <v>19</v>
      </c>
      <c r="B24" s="6" t="s">
        <v>103</v>
      </c>
      <c r="C24" s="6" t="s">
        <v>104</v>
      </c>
      <c r="D24" s="6" t="s">
        <v>105</v>
      </c>
      <c r="E24" s="5" t="n">
        <v>2</v>
      </c>
      <c r="F24" s="5" t="n">
        <v>2</v>
      </c>
      <c r="G24" s="7" t="n">
        <f aca="false">E24*F24</f>
        <v>4</v>
      </c>
      <c r="H24" s="5" t="str">
        <f aca="false">IF(G24&gt;=6,"hoch",IF(G24&gt;=3,"mittel","niedrig"))</f>
        <v>mittel</v>
      </c>
      <c r="I24" s="6" t="s">
        <v>106</v>
      </c>
      <c r="J24" s="6" t="s">
        <v>92</v>
      </c>
      <c r="K24" s="6" t="s">
        <v>107</v>
      </c>
    </row>
    <row r="25" customFormat="false" ht="85.5" hidden="false" customHeight="true" outlineLevel="0" collapsed="false">
      <c r="A25" s="8" t="n">
        <v>20</v>
      </c>
      <c r="B25" s="9" t="s">
        <v>103</v>
      </c>
      <c r="C25" s="9" t="s">
        <v>108</v>
      </c>
      <c r="D25" s="9" t="s">
        <v>109</v>
      </c>
      <c r="E25" s="8" t="n">
        <v>2</v>
      </c>
      <c r="F25" s="8" t="n">
        <v>2</v>
      </c>
      <c r="G25" s="7" t="n">
        <f aca="false">E25*F25</f>
        <v>4</v>
      </c>
      <c r="H25" s="5" t="str">
        <f aca="false">IF(G25&gt;=6,"hoch",IF(G25&gt;=3,"mittel","niedrig"))</f>
        <v>mittel</v>
      </c>
      <c r="I25" s="9" t="s">
        <v>110</v>
      </c>
      <c r="J25" s="9" t="s">
        <v>111</v>
      </c>
      <c r="K25" s="9" t="s">
        <v>112</v>
      </c>
    </row>
    <row r="26" customFormat="false" ht="85.5" hidden="false" customHeight="true" outlineLevel="0" collapsed="false">
      <c r="A26" s="5" t="n">
        <v>21</v>
      </c>
      <c r="B26" s="6" t="s">
        <v>103</v>
      </c>
      <c r="C26" s="6" t="s">
        <v>113</v>
      </c>
      <c r="D26" s="6" t="s">
        <v>114</v>
      </c>
      <c r="E26" s="5" t="n">
        <v>2</v>
      </c>
      <c r="F26" s="5" t="n">
        <v>2</v>
      </c>
      <c r="G26" s="7" t="n">
        <f aca="false">E26*F26</f>
        <v>4</v>
      </c>
      <c r="H26" s="5" t="str">
        <f aca="false">IF(G26&gt;=6,"hoch",IF(G26&gt;=3,"mittel","niedrig"))</f>
        <v>mittel</v>
      </c>
      <c r="I26" s="6" t="s">
        <v>115</v>
      </c>
      <c r="J26" s="6" t="s">
        <v>92</v>
      </c>
      <c r="K26" s="6" t="s">
        <v>116</v>
      </c>
    </row>
  </sheetData>
  <autoFilter ref="A5:K5"/>
  <mergeCells count="2">
    <mergeCell ref="A1:K1"/>
    <mergeCell ref="A2:K3"/>
  </mergeCells>
  <conditionalFormatting sqref="G6:G26">
    <cfRule type="cellIs" priority="2" operator="greaterThanOrEqual" aboveAverage="0" equalAverage="0" bottom="0" percent="0" rank="0" text="" dxfId="2">
      <formula>6</formula>
    </cfRule>
    <cfRule type="cellIs" priority="3" operator="between" aboveAverage="0" equalAverage="0" bottom="0" percent="0" rank="0" text="" dxfId="3">
      <formula>3</formula>
      <formula>5</formula>
    </cfRule>
    <cfRule type="cellIs" priority="4" operator="lessThanOrEqual" aboveAverage="0" equalAverage="0" bottom="0" percent="0" rank="0" text="" dxfId="4">
      <formula>2</formula>
    </cfRule>
  </conditionalFormatting>
  <conditionalFormatting sqref="H6:H26">
    <cfRule type="cellIs" priority="5" operator="equal" aboveAverage="0" equalAverage="0" bottom="0" percent="0" rank="0" text="" dxfId="2">
      <formula>"hoch"</formula>
    </cfRule>
    <cfRule type="cellIs" priority="6" operator="equal" aboveAverage="0" equalAverage="0" bottom="0" percent="0" rank="0" text="" dxfId="3">
      <formula>"mittel"</formula>
    </cfRule>
    <cfRule type="cellIs" priority="7" operator="equal" aboveAverage="0" equalAverage="0" bottom="0" percent="0" rank="0" text="" dxfId="4">
      <formula>"niedrig"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21.75" hidden="false" customHeight="true" outlineLevel="0" collapsed="false">
      <c r="A1" s="10" t="s">
        <v>117</v>
      </c>
    </row>
    <row r="3" customFormat="false" ht="15" hidden="false" customHeight="false" outlineLevel="0" collapsed="false">
      <c r="A3" s="11" t="s">
        <v>118</v>
      </c>
      <c r="B3" s="12" t="s">
        <v>119</v>
      </c>
    </row>
    <row r="4" customFormat="false" ht="15" hidden="false" customHeight="false" outlineLevel="0" collapsed="false">
      <c r="A4" s="11" t="s">
        <v>120</v>
      </c>
      <c r="B4" s="12" t="s">
        <v>121</v>
      </c>
    </row>
    <row r="5" customFormat="false" ht="15" hidden="false" customHeight="false" outlineLevel="0" collapsed="false">
      <c r="A5" s="11" t="s">
        <v>9</v>
      </c>
      <c r="B5" s="12" t="s">
        <v>122</v>
      </c>
    </row>
    <row r="6" customFormat="false" ht="15" hidden="false" customHeight="false" outlineLevel="0" collapsed="false">
      <c r="A6" s="11" t="s">
        <v>11</v>
      </c>
      <c r="B6" s="12" t="s">
        <v>123</v>
      </c>
    </row>
    <row r="7" customFormat="false" ht="23.85" hidden="false" customHeight="false" outlineLevel="0" collapsed="false">
      <c r="A7" s="11" t="s">
        <v>124</v>
      </c>
      <c r="B7" s="12" t="s">
        <v>125</v>
      </c>
    </row>
    <row r="8" customFormat="false" ht="15" hidden="false" customHeight="false" outlineLevel="0" collapsed="false">
      <c r="A8" s="11" t="s">
        <v>126</v>
      </c>
      <c r="B8" s="12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2026-09-05T20:34:37Z</dcterms:created>
  <dc:creator>openpyxl</dc:creator>
  <dc:description/>
  <dc:language>en-US</dc:language>
  <cp:lastModifiedBy/>
  <dcterms:modified xsi:type="dcterms:W3CDTF">2026-09-05T20:34:37Z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